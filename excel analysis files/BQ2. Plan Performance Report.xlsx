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Data Analysis Projects\MTN Analytics\mtn_price_hike_project V2 (15GB weekly revised)\mtn_price_hike_project V2 (15GB weekly revised)\Analysis\Github\SQL\BQ2\"/>
    </mc:Choice>
  </mc:AlternateContent>
  <xr:revisionPtr revIDLastSave="0" documentId="13_ncr:1_{4BCC2325-1A12-4819-A1B3-24695C940A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 Performance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4" i="1"/>
</calcChain>
</file>

<file path=xl/sharedStrings.xml><?xml version="1.0" encoding="utf-8"?>
<sst xmlns="http://schemas.openxmlformats.org/spreadsheetml/2006/main" count="206" uniqueCount="162">
  <si>
    <t>plan_name</t>
  </si>
  <si>
    <t>plan_category</t>
  </si>
  <si>
    <t>pre_transactions</t>
  </si>
  <si>
    <t>post_transactions</t>
  </si>
  <si>
    <t>pre_customers</t>
  </si>
  <si>
    <t>post_customers</t>
  </si>
  <si>
    <t>pre_revenue</t>
  </si>
  <si>
    <t>post_revenue</t>
  </si>
  <si>
    <t>2-Day 2GB</t>
  </si>
  <si>
    <t>Existing Hiked Plan</t>
  </si>
  <si>
    <t>93623</t>
  </si>
  <si>
    <t>135492</t>
  </si>
  <si>
    <t>36919</t>
  </si>
  <si>
    <t>53914</t>
  </si>
  <si>
    <t>46811500.00</t>
  </si>
  <si>
    <t>101619000.00</t>
  </si>
  <si>
    <t>BB 2-Month 300GB</t>
  </si>
  <si>
    <t>Discontinued Plan</t>
  </si>
  <si>
    <t>2455</t>
  </si>
  <si>
    <t>0</t>
  </si>
  <si>
    <t>2211</t>
  </si>
  <si>
    <t>88380000.00</t>
  </si>
  <si>
    <t>BB 3-Month 400GB</t>
  </si>
  <si>
    <t>1703</t>
  </si>
  <si>
    <t>1325</t>
  </si>
  <si>
    <t>1580</t>
  </si>
  <si>
    <t>1248</t>
  </si>
  <si>
    <t>76635000.00</t>
  </si>
  <si>
    <t>99375000.00</t>
  </si>
  <si>
    <t>BB 3-Month 450GB</t>
  </si>
  <si>
    <t>New Plan</t>
  </si>
  <si>
    <t>276</t>
  </si>
  <si>
    <t>261</t>
  </si>
  <si>
    <t>20700000.00</t>
  </si>
  <si>
    <t>BB 6-Month 1TB</t>
  </si>
  <si>
    <t>789</t>
  </si>
  <si>
    <t>765</t>
  </si>
  <si>
    <t>78900000.00</t>
  </si>
  <si>
    <t>BB Monthly 100GB</t>
  </si>
  <si>
    <t>3403</t>
  </si>
  <si>
    <t>2969</t>
  </si>
  <si>
    <t>61254000.00</t>
  </si>
  <si>
    <t>BB Monthly 120GB FUP</t>
  </si>
  <si>
    <t>3340</t>
  </si>
  <si>
    <t>4721</t>
  </si>
  <si>
    <t>2892</t>
  </si>
  <si>
    <t>4143</t>
  </si>
  <si>
    <t>66800000.00</t>
  </si>
  <si>
    <t>141630000.00</t>
  </si>
  <si>
    <t>BB Monthly 150GB FUP</t>
  </si>
  <si>
    <t>573</t>
  </si>
  <si>
    <t>498</t>
  </si>
  <si>
    <t>17190000.00</t>
  </si>
  <si>
    <t>BB Monthly 200GB</t>
  </si>
  <si>
    <t>3157</t>
  </si>
  <si>
    <t>4618</t>
  </si>
  <si>
    <t>2770</t>
  </si>
  <si>
    <t>4038</t>
  </si>
  <si>
    <t>78925000.00</t>
  </si>
  <si>
    <t>173175000.00</t>
  </si>
  <si>
    <t>BB Monthly 30GB</t>
  </si>
  <si>
    <t>3074</t>
  </si>
  <si>
    <t>3246</t>
  </si>
  <si>
    <t>2688</t>
  </si>
  <si>
    <t>2752</t>
  </si>
  <si>
    <t>24592000.00</t>
  </si>
  <si>
    <t>29214000.00</t>
  </si>
  <si>
    <t>BB Yearly 1.5TB</t>
  </si>
  <si>
    <t>978</t>
  </si>
  <si>
    <t>492</t>
  </si>
  <si>
    <t>963</t>
  </si>
  <si>
    <t>74700000.00</t>
  </si>
  <si>
    <t>220050000.00</t>
  </si>
  <si>
    <t>Daily 1GB</t>
  </si>
  <si>
    <t>116947</t>
  </si>
  <si>
    <t>108310</t>
  </si>
  <si>
    <t>38665</t>
  </si>
  <si>
    <t>35290</t>
  </si>
  <si>
    <t>40931450.00</t>
  </si>
  <si>
    <t>54155000.00</t>
  </si>
  <si>
    <t>Fibre 100Mbps Unlimited</t>
  </si>
  <si>
    <t>Unchanged Plan</t>
  </si>
  <si>
    <t>5722</t>
  </si>
  <si>
    <t>6254</t>
  </si>
  <si>
    <t>5060</t>
  </si>
  <si>
    <t>5329</t>
  </si>
  <si>
    <t>228880000.00</t>
  </si>
  <si>
    <t>250160000.00</t>
  </si>
  <si>
    <t>Fibre 200Mbps Unlimited</t>
  </si>
  <si>
    <t>5807</t>
  </si>
  <si>
    <t>6326</t>
  </si>
  <si>
    <t>5024</t>
  </si>
  <si>
    <t>5352</t>
  </si>
  <si>
    <t>377455000.00</t>
  </si>
  <si>
    <t>411190000.00</t>
  </si>
  <si>
    <t>Fibre 50Mbps Unlimited</t>
  </si>
  <si>
    <t>6242</t>
  </si>
  <si>
    <t>5058</t>
  </si>
  <si>
    <t>5314</t>
  </si>
  <si>
    <t>145175000.00</t>
  </si>
  <si>
    <t>156050000.00</t>
  </si>
  <si>
    <t>Monthly 10GB</t>
  </si>
  <si>
    <t>23252</t>
  </si>
  <si>
    <t>36568</t>
  </si>
  <si>
    <t>17798</t>
  </si>
  <si>
    <t>27368</t>
  </si>
  <si>
    <t>81382000.00</t>
  </si>
  <si>
    <t>164556000.00</t>
  </si>
  <si>
    <t>Monthly 120GB</t>
  </si>
  <si>
    <t>22818</t>
  </si>
  <si>
    <t>17213</t>
  </si>
  <si>
    <t>501996000.00</t>
  </si>
  <si>
    <t>Monthly 20GB</t>
  </si>
  <si>
    <t>23231</t>
  </si>
  <si>
    <t>21957</t>
  </si>
  <si>
    <t>17734</t>
  </si>
  <si>
    <t>16662</t>
  </si>
  <si>
    <t>127770500.00</t>
  </si>
  <si>
    <t>164677500.00</t>
  </si>
  <si>
    <t>Monthly 25GB</t>
  </si>
  <si>
    <t>23436</t>
  </si>
  <si>
    <t>21503</t>
  </si>
  <si>
    <t>17907</t>
  </si>
  <si>
    <t>16329</t>
  </si>
  <si>
    <t>152334000.00</t>
  </si>
  <si>
    <t>193527000.00</t>
  </si>
  <si>
    <t>Monthly 40GB</t>
  </si>
  <si>
    <t>Unchanged Price - Reduced Allowance</t>
  </si>
  <si>
    <t>23456</t>
  </si>
  <si>
    <t>24758</t>
  </si>
  <si>
    <t>17959</t>
  </si>
  <si>
    <t>18150</t>
  </si>
  <si>
    <t>258016000.00</t>
  </si>
  <si>
    <t>272338000.00</t>
  </si>
  <si>
    <t>Monthly 75GB</t>
  </si>
  <si>
    <t>23266</t>
  </si>
  <si>
    <t>54391</t>
  </si>
  <si>
    <t>17692</t>
  </si>
  <si>
    <t>40186</t>
  </si>
  <si>
    <t>372256000.00</t>
  </si>
  <si>
    <t>979038000.00</t>
  </si>
  <si>
    <t>Weekly 15GB Digital</t>
  </si>
  <si>
    <t>Rolled-Back Plan</t>
  </si>
  <si>
    <t>58265</t>
  </si>
  <si>
    <t>2462</t>
  </si>
  <si>
    <t>31140</t>
  </si>
  <si>
    <t>2381</t>
  </si>
  <si>
    <t>116530000.00</t>
  </si>
  <si>
    <t>14772000.00</t>
  </si>
  <si>
    <t>Weekly 5GB</t>
  </si>
  <si>
    <t>57849</t>
  </si>
  <si>
    <t>31088</t>
  </si>
  <si>
    <t>86773500.00</t>
  </si>
  <si>
    <t>Weekly 7GB</t>
  </si>
  <si>
    <t>58102</t>
  </si>
  <si>
    <t>116204000.00</t>
  </si>
  <si>
    <t>Transaction Change %</t>
  </si>
  <si>
    <t>Customer Change %</t>
  </si>
  <si>
    <t>Revenue Change %</t>
  </si>
  <si>
    <t>Daily Demand Change %</t>
  </si>
  <si>
    <t>Daily Revenue Change %</t>
  </si>
  <si>
    <t>MTN Nigeria Tariff Adjustment Impact Analysis —  Plan Performance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</si>
</sst>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0" fontId="0" fillId="0" borderId="0" xfId="1" applyNumberFormat="1" applyFont="1"/>
    <xf numFmtId="0" fontId="0" fillId="2" borderId="0" xfId="0" applyFill="1"/>
    <xf numFmtId="10" fontId="0" fillId="3" borderId="0" xfId="1" applyNumberFormat="1" applyFont="1" applyFill="1"/>
    <xf numFmtId="10" fontId="0" fillId="4" borderId="0" xfId="1" applyNumberFormat="1" applyFont="1" applyFill="1"/>
    <xf numFmtId="0" fontId="3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color rgb="FF276221"/>
      </font>
      <fill>
        <patternFill>
          <fgColor rgb="FFD9EAD3"/>
        </patternFill>
      </fill>
    </dxf>
    <dxf>
      <font>
        <color rgb="FF990000"/>
      </font>
      <fill>
        <patternFill>
          <fgColor auto="1"/>
        </patternFill>
      </fill>
    </dxf>
    <dxf>
      <font>
        <color rgb="FF276221"/>
      </font>
      <fill>
        <patternFill>
          <fgColor rgb="FFD9EAD3"/>
        </patternFill>
      </fill>
    </dxf>
    <dxf>
      <font>
        <color rgb="FF990000"/>
      </font>
      <fill>
        <patternFill>
          <fgColor auto="1"/>
        </patternFill>
      </fill>
    </dxf>
    <dxf>
      <font>
        <color rgb="FF276221"/>
      </font>
      <fill>
        <patternFill>
          <fgColor rgb="FFD9EAD3"/>
        </patternFill>
      </fill>
    </dxf>
    <dxf>
      <font>
        <color rgb="FF990000"/>
      </font>
      <fill>
        <patternFill>
          <fgColor auto="1"/>
        </patternFill>
      </fill>
    </dxf>
    <dxf>
      <font>
        <color rgb="FF276221"/>
      </font>
      <fill>
        <patternFill>
          <fgColor rgb="FFD9EAD3"/>
        </patternFill>
      </fill>
    </dxf>
    <dxf>
      <font>
        <color rgb="FF990000"/>
      </font>
      <fill>
        <patternFill>
          <fgColor auto="1"/>
        </patternFill>
      </fill>
    </dxf>
    <dxf>
      <font>
        <color rgb="FF276221"/>
      </font>
      <fill>
        <patternFill>
          <fgColor rgb="FFD9EAD3"/>
        </patternFill>
      </fill>
    </dxf>
    <dxf>
      <font>
        <color rgb="FF990000"/>
      </font>
      <fill>
        <patternFill>
          <fgColor auto="1"/>
        </patternFill>
      </fill>
    </dxf>
    <dxf>
      <font>
        <color rgb="FF276221"/>
      </font>
      <fill>
        <patternFill>
          <fgColor rgb="FFD9EAD3"/>
        </patternFill>
      </fill>
    </dxf>
    <dxf>
      <font>
        <color rgb="FF990000"/>
      </font>
      <fill>
        <patternFill>
          <fgColor auto="1"/>
        </patternFill>
      </fill>
    </dxf>
  </dxfs>
  <tableStyles count="1" defaultTableStyle="TableStyleMedium9" defaultPivotStyle="PivotStyleLight16">
    <tableStyle name="Invisible" pivot="0" table="0" count="0" xr9:uid="{5A13C552-9D99-42E1-94B5-7501B3382C3D}"/>
  </tableStyles>
  <colors>
    <mruColors>
      <color rgb="FFD9EAD3"/>
      <color rgb="FFF4CCCC"/>
      <color rgb="FF990000"/>
      <color rgb="FF2762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topLeftCell="C2" zoomScale="80" zoomScaleNormal="80" workbookViewId="0">
      <selection activeCell="J19" sqref="J19"/>
    </sheetView>
  </sheetViews>
  <sheetFormatPr defaultColWidth="18.1796875" defaultRowHeight="14.5" x14ac:dyDescent="0.35"/>
  <cols>
    <col min="1" max="1" width="22" bestFit="1" customWidth="1"/>
    <col min="2" max="2" width="32.81640625" bestFit="1" customWidth="1"/>
    <col min="3" max="3" width="15.08984375" bestFit="1" customWidth="1"/>
    <col min="4" max="4" width="16" bestFit="1" customWidth="1"/>
    <col min="5" max="5" width="13.453125" bestFit="1" customWidth="1"/>
    <col min="6" max="6" width="14.36328125" bestFit="1" customWidth="1"/>
    <col min="7" max="8" width="12.36328125" bestFit="1" customWidth="1"/>
    <col min="9" max="9" width="19.36328125" bestFit="1" customWidth="1"/>
    <col min="10" max="10" width="17.7265625" bestFit="1" customWidth="1"/>
    <col min="11" max="11" width="16.6328125" bestFit="1" customWidth="1"/>
    <col min="12" max="12" width="21.26953125" bestFit="1" customWidth="1"/>
    <col min="13" max="13" width="21.36328125" bestFit="1" customWidth="1"/>
  </cols>
  <sheetData>
    <row r="1" spans="1:18" ht="21" x14ac:dyDescent="0.5">
      <c r="A1" s="6" t="s">
        <v>161</v>
      </c>
      <c r="B1" s="6"/>
      <c r="C1" s="6"/>
      <c r="D1" s="6"/>
      <c r="E1" s="6"/>
      <c r="F1" s="6"/>
      <c r="G1" s="6"/>
      <c r="H1" s="6"/>
      <c r="I1" s="3"/>
      <c r="J1" s="3"/>
      <c r="K1" s="3"/>
      <c r="L1" s="3"/>
      <c r="M1" s="3"/>
      <c r="N1" s="3"/>
      <c r="O1" s="3"/>
      <c r="P1" s="3"/>
      <c r="Q1" s="3"/>
      <c r="R1" s="3"/>
    </row>
    <row r="3" spans="1:18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156</v>
      </c>
      <c r="J3" s="1" t="s">
        <v>157</v>
      </c>
      <c r="K3" s="1" t="s">
        <v>158</v>
      </c>
      <c r="L3" s="1" t="s">
        <v>159</v>
      </c>
      <c r="M3" s="1" t="s">
        <v>160</v>
      </c>
    </row>
    <row r="4" spans="1:18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s="4">
        <f t="shared" ref="I4:I27" si="0">IFERROR((D4-C4)/C4,"")</f>
        <v>0.44720848509447464</v>
      </c>
      <c r="J4" s="4">
        <f t="shared" ref="J4:J27" si="1">IFERROR((F4-E4)/E4,"")</f>
        <v>0.46033207833364936</v>
      </c>
      <c r="K4" s="4">
        <f t="shared" ref="K4:K27" si="2">IFERROR((H4-G4)/G4,"")</f>
        <v>1.170812727641712</v>
      </c>
      <c r="L4" s="4">
        <f t="shared" ref="L4:L27" si="3">IFERROR((D4/79)/(C4/72)-1,"")</f>
        <v>0.31897482185825554</v>
      </c>
      <c r="M4" s="4">
        <f>IFERROR((H4/79)/(G4/72)-1,"")</f>
        <v>0.97846223278738309</v>
      </c>
    </row>
    <row r="5" spans="1:18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21</v>
      </c>
      <c r="H5" t="s">
        <v>19</v>
      </c>
      <c r="I5" s="5">
        <f t="shared" si="0"/>
        <v>-1</v>
      </c>
      <c r="J5" s="5">
        <f t="shared" si="1"/>
        <v>-1</v>
      </c>
      <c r="K5" s="5">
        <f t="shared" si="2"/>
        <v>-1</v>
      </c>
      <c r="L5" s="5">
        <f t="shared" si="3"/>
        <v>-1</v>
      </c>
      <c r="M5" s="5">
        <f t="shared" ref="M5:M27" si="4">IFERROR((H5/79)/(G5/72)-1,"")</f>
        <v>-1</v>
      </c>
    </row>
    <row r="6" spans="1:18" x14ac:dyDescent="0.35">
      <c r="A6" t="s">
        <v>22</v>
      </c>
      <c r="B6" t="s">
        <v>9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s="5">
        <f t="shared" si="0"/>
        <v>-0.22196124486200822</v>
      </c>
      <c r="J6" s="5">
        <f t="shared" si="1"/>
        <v>-0.21012658227848102</v>
      </c>
      <c r="K6" s="5">
        <f t="shared" si="2"/>
        <v>0.29673125856331961</v>
      </c>
      <c r="L6" s="5">
        <f t="shared" si="3"/>
        <v>-0.29090138772233665</v>
      </c>
      <c r="M6" s="4">
        <f t="shared" si="4"/>
        <v>0.18183102046277244</v>
      </c>
    </row>
    <row r="7" spans="1:18" x14ac:dyDescent="0.35">
      <c r="A7" t="s">
        <v>29</v>
      </c>
      <c r="B7" t="s">
        <v>30</v>
      </c>
      <c r="C7" t="s">
        <v>19</v>
      </c>
      <c r="D7" t="s">
        <v>31</v>
      </c>
      <c r="E7" t="s">
        <v>19</v>
      </c>
      <c r="F7" t="s">
        <v>32</v>
      </c>
      <c r="G7" t="s">
        <v>19</v>
      </c>
      <c r="H7" t="s">
        <v>33</v>
      </c>
      <c r="I7" s="2" t="str">
        <f t="shared" si="0"/>
        <v/>
      </c>
      <c r="J7" s="2" t="str">
        <f t="shared" si="1"/>
        <v/>
      </c>
      <c r="K7" s="2" t="str">
        <f t="shared" si="2"/>
        <v/>
      </c>
      <c r="L7" s="2" t="str">
        <f t="shared" si="3"/>
        <v/>
      </c>
      <c r="M7" s="2" t="str">
        <f t="shared" si="4"/>
        <v/>
      </c>
    </row>
    <row r="8" spans="1:18" x14ac:dyDescent="0.35">
      <c r="A8" t="s">
        <v>34</v>
      </c>
      <c r="B8" t="s">
        <v>17</v>
      </c>
      <c r="C8" t="s">
        <v>35</v>
      </c>
      <c r="D8" t="s">
        <v>19</v>
      </c>
      <c r="E8" t="s">
        <v>36</v>
      </c>
      <c r="F8" t="s">
        <v>19</v>
      </c>
      <c r="G8" t="s">
        <v>37</v>
      </c>
      <c r="H8" t="s">
        <v>19</v>
      </c>
      <c r="I8" s="5">
        <f t="shared" si="0"/>
        <v>-1</v>
      </c>
      <c r="J8" s="5">
        <f t="shared" si="1"/>
        <v>-1</v>
      </c>
      <c r="K8" s="5">
        <f t="shared" si="2"/>
        <v>-1</v>
      </c>
      <c r="L8" s="5">
        <f t="shared" si="3"/>
        <v>-1</v>
      </c>
      <c r="M8" s="5">
        <f t="shared" si="4"/>
        <v>-1</v>
      </c>
    </row>
    <row r="9" spans="1:18" x14ac:dyDescent="0.35">
      <c r="A9" t="s">
        <v>38</v>
      </c>
      <c r="B9" t="s">
        <v>17</v>
      </c>
      <c r="C9" t="s">
        <v>39</v>
      </c>
      <c r="D9" t="s">
        <v>19</v>
      </c>
      <c r="E9" t="s">
        <v>40</v>
      </c>
      <c r="F9" t="s">
        <v>19</v>
      </c>
      <c r="G9" t="s">
        <v>41</v>
      </c>
      <c r="H9" t="s">
        <v>19</v>
      </c>
      <c r="I9" s="5">
        <f t="shared" si="0"/>
        <v>-1</v>
      </c>
      <c r="J9" s="5">
        <f t="shared" si="1"/>
        <v>-1</v>
      </c>
      <c r="K9" s="5">
        <f t="shared" si="2"/>
        <v>-1</v>
      </c>
      <c r="L9" s="5">
        <f t="shared" si="3"/>
        <v>-1</v>
      </c>
      <c r="M9" s="5">
        <f t="shared" si="4"/>
        <v>-1</v>
      </c>
    </row>
    <row r="10" spans="1:18" x14ac:dyDescent="0.35">
      <c r="A10" t="s">
        <v>42</v>
      </c>
      <c r="B10" t="s">
        <v>9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s="4">
        <f t="shared" si="0"/>
        <v>0.41347305389221556</v>
      </c>
      <c r="J10" s="4">
        <f t="shared" si="1"/>
        <v>0.43257261410788383</v>
      </c>
      <c r="K10" s="4">
        <f t="shared" si="2"/>
        <v>1.1202095808383234</v>
      </c>
      <c r="L10" s="4">
        <f t="shared" si="3"/>
        <v>0.28822860607898138</v>
      </c>
      <c r="M10" s="4">
        <f t="shared" si="4"/>
        <v>0.93234290911847206</v>
      </c>
    </row>
    <row r="11" spans="1:18" x14ac:dyDescent="0.35">
      <c r="A11" t="s">
        <v>49</v>
      </c>
      <c r="B11" t="s">
        <v>30</v>
      </c>
      <c r="C11" t="s">
        <v>19</v>
      </c>
      <c r="D11" t="s">
        <v>50</v>
      </c>
      <c r="E11" t="s">
        <v>19</v>
      </c>
      <c r="F11" t="s">
        <v>51</v>
      </c>
      <c r="G11" t="s">
        <v>19</v>
      </c>
      <c r="H11" t="s">
        <v>52</v>
      </c>
      <c r="I11" s="2" t="str">
        <f t="shared" si="0"/>
        <v/>
      </c>
      <c r="J11" s="2" t="str">
        <f t="shared" si="1"/>
        <v/>
      </c>
      <c r="K11" s="2" t="str">
        <f t="shared" si="2"/>
        <v/>
      </c>
      <c r="L11" s="2" t="str">
        <f t="shared" si="3"/>
        <v/>
      </c>
      <c r="M11" s="2" t="str">
        <f t="shared" si="4"/>
        <v/>
      </c>
    </row>
    <row r="12" spans="1:18" x14ac:dyDescent="0.35">
      <c r="A12" t="s">
        <v>53</v>
      </c>
      <c r="B12" t="s">
        <v>9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s="4">
        <f t="shared" si="0"/>
        <v>0.46278112131770666</v>
      </c>
      <c r="J12" s="4">
        <f t="shared" si="1"/>
        <v>0.45776173285198557</v>
      </c>
      <c r="K12" s="4">
        <f t="shared" si="2"/>
        <v>1.19417168197656</v>
      </c>
      <c r="L12" s="4">
        <f t="shared" si="3"/>
        <v>0.33316760423892267</v>
      </c>
      <c r="M12" s="4">
        <f t="shared" si="4"/>
        <v>0.99975140635838389</v>
      </c>
    </row>
    <row r="13" spans="1:18" x14ac:dyDescent="0.35">
      <c r="A13" t="s">
        <v>60</v>
      </c>
      <c r="B13" t="s">
        <v>9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s="5">
        <f t="shared" si="0"/>
        <v>5.595315549772284E-2</v>
      </c>
      <c r="J13" s="5">
        <f t="shared" si="1"/>
        <v>2.3809523809523808E-2</v>
      </c>
      <c r="K13" s="5">
        <f t="shared" si="2"/>
        <v>0.18794729993493819</v>
      </c>
      <c r="L13" s="5">
        <f t="shared" si="3"/>
        <v>-3.7612313976758793E-2</v>
      </c>
      <c r="M13" s="4">
        <f t="shared" si="4"/>
        <v>8.2686146776146163E-2</v>
      </c>
    </row>
    <row r="14" spans="1:18" x14ac:dyDescent="0.35">
      <c r="A14" t="s">
        <v>67</v>
      </c>
      <c r="B14" t="s">
        <v>9</v>
      </c>
      <c r="C14" t="s">
        <v>51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s="4">
        <f t="shared" si="0"/>
        <v>0.96385542168674698</v>
      </c>
      <c r="J14" s="4">
        <f t="shared" si="1"/>
        <v>0.95731707317073167</v>
      </c>
      <c r="K14" s="4">
        <f t="shared" si="2"/>
        <v>1.9457831325301205</v>
      </c>
      <c r="L14" s="4">
        <f t="shared" si="3"/>
        <v>0.78984291596766809</v>
      </c>
      <c r="M14" s="4">
        <f t="shared" si="4"/>
        <v>1.6847643739515021</v>
      </c>
    </row>
    <row r="15" spans="1:18" x14ac:dyDescent="0.35">
      <c r="A15" t="s">
        <v>73</v>
      </c>
      <c r="B15" t="s">
        <v>9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s="5">
        <f t="shared" si="0"/>
        <v>-7.3853968036802997E-2</v>
      </c>
      <c r="J15" s="5">
        <f t="shared" si="1"/>
        <v>-8.7288245182982019E-2</v>
      </c>
      <c r="K15" s="5">
        <f t="shared" si="2"/>
        <v>0.32306575994742431</v>
      </c>
      <c r="L15" s="5">
        <f t="shared" si="3"/>
        <v>-0.15591754048923823</v>
      </c>
      <c r="M15" s="4">
        <f t="shared" si="4"/>
        <v>0.20583208501537409</v>
      </c>
    </row>
    <row r="16" spans="1:18" x14ac:dyDescent="0.3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H16" t="s">
        <v>87</v>
      </c>
      <c r="I16" s="5">
        <f t="shared" si="0"/>
        <v>9.2974484445997901E-2</v>
      </c>
      <c r="J16" s="5">
        <f t="shared" si="1"/>
        <v>5.3162055335968378E-2</v>
      </c>
      <c r="K16" s="5">
        <f t="shared" si="2"/>
        <v>9.2974484445997901E-2</v>
      </c>
      <c r="L16" s="5">
        <f t="shared" si="3"/>
        <v>-3.8713559479514048E-3</v>
      </c>
      <c r="M16" s="5">
        <f t="shared" si="4"/>
        <v>-3.8713559479512938E-3</v>
      </c>
    </row>
    <row r="17" spans="1:13" x14ac:dyDescent="0.35">
      <c r="A17" t="s">
        <v>88</v>
      </c>
      <c r="B17" t="s">
        <v>81</v>
      </c>
      <c r="C17" t="s">
        <v>89</v>
      </c>
      <c r="D17" t="s">
        <v>90</v>
      </c>
      <c r="E17" t="s">
        <v>91</v>
      </c>
      <c r="F17" t="s">
        <v>92</v>
      </c>
      <c r="G17" t="s">
        <v>93</v>
      </c>
      <c r="H17" t="s">
        <v>94</v>
      </c>
      <c r="I17" s="5">
        <f t="shared" si="0"/>
        <v>8.9374892371276049E-2</v>
      </c>
      <c r="J17" s="5">
        <f t="shared" si="1"/>
        <v>6.5286624203821655E-2</v>
      </c>
      <c r="K17" s="5">
        <f t="shared" si="2"/>
        <v>8.9374892371276049E-2</v>
      </c>
      <c r="L17" s="5">
        <f t="shared" si="3"/>
        <v>-7.1519968261786193E-3</v>
      </c>
      <c r="M17" s="5">
        <f t="shared" si="4"/>
        <v>-7.1519968261788414E-3</v>
      </c>
    </row>
    <row r="18" spans="1:13" x14ac:dyDescent="0.35">
      <c r="A18" t="s">
        <v>95</v>
      </c>
      <c r="B18" t="s">
        <v>81</v>
      </c>
      <c r="C18" t="s">
        <v>89</v>
      </c>
      <c r="D18" t="s">
        <v>96</v>
      </c>
      <c r="E18" t="s">
        <v>97</v>
      </c>
      <c r="F18" t="s">
        <v>98</v>
      </c>
      <c r="G18" t="s">
        <v>99</v>
      </c>
      <c r="H18" t="s">
        <v>100</v>
      </c>
      <c r="I18" s="5">
        <f t="shared" si="0"/>
        <v>7.4909591871878761E-2</v>
      </c>
      <c r="J18" s="5">
        <f t="shared" si="1"/>
        <v>5.0612890470541717E-2</v>
      </c>
      <c r="K18" s="5">
        <f t="shared" si="2"/>
        <v>7.4909591871878761E-2</v>
      </c>
      <c r="L18" s="5">
        <f t="shared" si="3"/>
        <v>-2.0335561838287552E-2</v>
      </c>
      <c r="M18" s="5">
        <f t="shared" si="4"/>
        <v>-2.0335561838287664E-2</v>
      </c>
    </row>
    <row r="19" spans="1:13" x14ac:dyDescent="0.35">
      <c r="A19" t="s">
        <v>101</v>
      </c>
      <c r="B19" t="s">
        <v>9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s">
        <v>107</v>
      </c>
      <c r="I19" s="4">
        <f t="shared" si="0"/>
        <v>0.57268191983485295</v>
      </c>
      <c r="J19" s="4">
        <f t="shared" si="1"/>
        <v>0.53770086526576022</v>
      </c>
      <c r="K19" s="4">
        <f t="shared" si="2"/>
        <v>1.0220196112162394</v>
      </c>
      <c r="L19" s="4">
        <f t="shared" si="3"/>
        <v>0.43333035731784042</v>
      </c>
      <c r="M19" s="4">
        <f t="shared" si="4"/>
        <v>0.84285331655150952</v>
      </c>
    </row>
    <row r="20" spans="1:13" x14ac:dyDescent="0.35">
      <c r="A20" t="s">
        <v>108</v>
      </c>
      <c r="B20" t="s">
        <v>17</v>
      </c>
      <c r="C20" t="s">
        <v>109</v>
      </c>
      <c r="D20" t="s">
        <v>19</v>
      </c>
      <c r="E20" t="s">
        <v>110</v>
      </c>
      <c r="F20" t="s">
        <v>19</v>
      </c>
      <c r="G20" t="s">
        <v>111</v>
      </c>
      <c r="H20" t="s">
        <v>19</v>
      </c>
      <c r="I20" s="5">
        <f t="shared" si="0"/>
        <v>-1</v>
      </c>
      <c r="J20" s="5">
        <f t="shared" si="1"/>
        <v>-1</v>
      </c>
      <c r="K20" s="5">
        <f t="shared" si="2"/>
        <v>-1</v>
      </c>
      <c r="L20" s="5">
        <f t="shared" si="3"/>
        <v>-1</v>
      </c>
      <c r="M20" s="5">
        <f t="shared" si="4"/>
        <v>-1</v>
      </c>
    </row>
    <row r="21" spans="1:13" x14ac:dyDescent="0.35">
      <c r="A21" t="s">
        <v>112</v>
      </c>
      <c r="B21" t="s">
        <v>9</v>
      </c>
      <c r="C21" t="s">
        <v>113</v>
      </c>
      <c r="D21" t="s">
        <v>114</v>
      </c>
      <c r="E21" t="s">
        <v>115</v>
      </c>
      <c r="F21" t="s">
        <v>116</v>
      </c>
      <c r="G21" t="s">
        <v>117</v>
      </c>
      <c r="H21" t="s">
        <v>118</v>
      </c>
      <c r="I21" s="5">
        <f t="shared" si="0"/>
        <v>-5.4840514829322888E-2</v>
      </c>
      <c r="J21" s="5">
        <f t="shared" si="1"/>
        <v>-6.0448855306191498E-2</v>
      </c>
      <c r="K21" s="5">
        <f t="shared" si="2"/>
        <v>0.28885384341455972</v>
      </c>
      <c r="L21" s="5">
        <f t="shared" si="3"/>
        <v>-0.13858882364191449</v>
      </c>
      <c r="M21" s="4">
        <f t="shared" si="4"/>
        <v>0.17465160412466196</v>
      </c>
    </row>
    <row r="22" spans="1:13" x14ac:dyDescent="0.35">
      <c r="A22" t="s">
        <v>119</v>
      </c>
      <c r="B22" t="s">
        <v>9</v>
      </c>
      <c r="C22" t="s">
        <v>120</v>
      </c>
      <c r="D22" t="s">
        <v>121</v>
      </c>
      <c r="E22" t="s">
        <v>122</v>
      </c>
      <c r="F22" t="s">
        <v>123</v>
      </c>
      <c r="G22" t="s">
        <v>124</v>
      </c>
      <c r="H22" t="s">
        <v>125</v>
      </c>
      <c r="I22" s="5">
        <f t="shared" si="0"/>
        <v>-8.2479945383171188E-2</v>
      </c>
      <c r="J22" s="5">
        <f t="shared" si="1"/>
        <v>-8.8121963477969509E-2</v>
      </c>
      <c r="K22" s="5">
        <f t="shared" si="2"/>
        <v>0.27041238331560913</v>
      </c>
      <c r="L22" s="5">
        <f t="shared" si="3"/>
        <v>-0.16377919072896618</v>
      </c>
      <c r="M22" s="4">
        <f t="shared" si="4"/>
        <v>0.15784419745220091</v>
      </c>
    </row>
    <row r="23" spans="1:13" x14ac:dyDescent="0.35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t="s">
        <v>131</v>
      </c>
      <c r="G23" t="s">
        <v>132</v>
      </c>
      <c r="H23" t="s">
        <v>133</v>
      </c>
      <c r="I23" s="5">
        <f t="shared" si="0"/>
        <v>5.5508185538881309E-2</v>
      </c>
      <c r="J23" s="5">
        <f t="shared" si="1"/>
        <v>1.0635336043209534E-2</v>
      </c>
      <c r="K23" s="5">
        <f t="shared" si="2"/>
        <v>5.5508185538881309E-2</v>
      </c>
      <c r="L23" s="5">
        <f t="shared" si="3"/>
        <v>-3.8017856217728352E-2</v>
      </c>
      <c r="M23" s="5">
        <f t="shared" si="4"/>
        <v>-3.8017856217728463E-2</v>
      </c>
    </row>
    <row r="24" spans="1:13" x14ac:dyDescent="0.35">
      <c r="A24" t="s">
        <v>134</v>
      </c>
      <c r="B24" t="s">
        <v>9</v>
      </c>
      <c r="C24" t="s">
        <v>135</v>
      </c>
      <c r="D24" t="s">
        <v>136</v>
      </c>
      <c r="E24" t="s">
        <v>137</v>
      </c>
      <c r="F24" t="s">
        <v>138</v>
      </c>
      <c r="G24" t="s">
        <v>139</v>
      </c>
      <c r="H24" t="s">
        <v>140</v>
      </c>
      <c r="I24" s="4">
        <f t="shared" si="0"/>
        <v>1.3377890483968022</v>
      </c>
      <c r="J24" s="4">
        <f t="shared" si="1"/>
        <v>1.2714221116888988</v>
      </c>
      <c r="K24" s="4">
        <f t="shared" si="2"/>
        <v>1.6300126794464025</v>
      </c>
      <c r="L24" s="4">
        <f t="shared" si="3"/>
        <v>1.1306431833489841</v>
      </c>
      <c r="M24" s="4">
        <f t="shared" si="4"/>
        <v>1.3969735812676074</v>
      </c>
    </row>
    <row r="25" spans="1:13" x14ac:dyDescent="0.35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 t="s">
        <v>146</v>
      </c>
      <c r="G25" t="s">
        <v>147</v>
      </c>
      <c r="H25" t="s">
        <v>148</v>
      </c>
      <c r="I25" s="5">
        <f t="shared" si="0"/>
        <v>-0.95774478675019303</v>
      </c>
      <c r="J25" s="5">
        <f t="shared" si="1"/>
        <v>-0.92353885677585101</v>
      </c>
      <c r="K25" s="5">
        <f t="shared" si="2"/>
        <v>-0.87323436025057921</v>
      </c>
      <c r="L25" s="5">
        <f t="shared" si="3"/>
        <v>-0.96148891956979621</v>
      </c>
      <c r="M25" s="5">
        <f t="shared" si="4"/>
        <v>-0.88446675870938862</v>
      </c>
    </row>
    <row r="26" spans="1:13" x14ac:dyDescent="0.35">
      <c r="A26" t="s">
        <v>149</v>
      </c>
      <c r="B26" t="s">
        <v>17</v>
      </c>
      <c r="C26" t="s">
        <v>150</v>
      </c>
      <c r="D26" t="s">
        <v>19</v>
      </c>
      <c r="E26" t="s">
        <v>151</v>
      </c>
      <c r="F26" t="s">
        <v>19</v>
      </c>
      <c r="G26" t="s">
        <v>152</v>
      </c>
      <c r="H26" t="s">
        <v>19</v>
      </c>
      <c r="I26" s="5">
        <f t="shared" si="0"/>
        <v>-1</v>
      </c>
      <c r="J26" s="5">
        <f t="shared" si="1"/>
        <v>-1</v>
      </c>
      <c r="K26" s="5">
        <f t="shared" si="2"/>
        <v>-1</v>
      </c>
      <c r="L26" s="5">
        <f t="shared" si="3"/>
        <v>-1</v>
      </c>
      <c r="M26" s="5">
        <f t="shared" si="4"/>
        <v>-1</v>
      </c>
    </row>
    <row r="27" spans="1:13" x14ac:dyDescent="0.35">
      <c r="A27" t="s">
        <v>153</v>
      </c>
      <c r="B27" t="s">
        <v>17</v>
      </c>
      <c r="C27" t="s">
        <v>154</v>
      </c>
      <c r="D27" t="s">
        <v>19</v>
      </c>
      <c r="E27" t="s">
        <v>151</v>
      </c>
      <c r="F27" t="s">
        <v>19</v>
      </c>
      <c r="G27" t="s">
        <v>155</v>
      </c>
      <c r="H27" t="s">
        <v>19</v>
      </c>
      <c r="I27" s="5">
        <f t="shared" si="0"/>
        <v>-1</v>
      </c>
      <c r="J27" s="5">
        <f t="shared" si="1"/>
        <v>-1</v>
      </c>
      <c r="K27" s="5">
        <f t="shared" si="2"/>
        <v>-1</v>
      </c>
      <c r="L27" s="5">
        <f t="shared" si="3"/>
        <v>-1</v>
      </c>
      <c r="M27" s="5">
        <f t="shared" si="4"/>
        <v>-1</v>
      </c>
    </row>
  </sheetData>
  <mergeCells count="1">
    <mergeCell ref="A1:H1"/>
  </mergeCells>
  <conditionalFormatting sqref="L4:M27">
    <cfRule type="cellIs" dxfId="11" priority="7" operator="lessThan">
      <formula>0</formula>
    </cfRule>
    <cfRule type="cellIs" dxfId="10" priority="8" operator="greaterThan">
      <formula>0</formula>
    </cfRule>
  </conditionalFormatting>
  <conditionalFormatting sqref="K4:K27">
    <cfRule type="cellIs" dxfId="9" priority="5" operator="lessThan">
      <formula>0</formula>
    </cfRule>
    <cfRule type="cellIs" dxfId="8" priority="6" operator="greaterThan">
      <formula>0</formula>
    </cfRule>
  </conditionalFormatting>
  <conditionalFormatting sqref="J4:J27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I4:I27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Performance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Duke Tsekar</cp:lastModifiedBy>
  <dcterms:created xsi:type="dcterms:W3CDTF">2026-10-17T15:08:46Z</dcterms:created>
  <dcterms:modified xsi:type="dcterms:W3CDTF">2026-10-17T20:23:27Z</dcterms:modified>
</cp:coreProperties>
</file>